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wss\Documents\Repos\User Interface Design\resources\"/>
    </mc:Choice>
  </mc:AlternateContent>
  <xr:revisionPtr revIDLastSave="0" documentId="13_ncr:1_{CA02C3C3-60F5-487E-B86C-DCEE88792414}" xr6:coauthVersionLast="47" xr6:coauthVersionMax="47" xr10:uidLastSave="{00000000-0000-0000-0000-000000000000}"/>
  <bookViews>
    <workbookView xWindow="-110" yWindow="-110" windowWidth="38620" windowHeight="21100" xr2:uid="{6C2D3FD5-6A10-44FA-9DBD-AC6BD9D1CEE9}"/>
  </bookViews>
  <sheets>
    <sheet name="Plan_of_Study_Worksheet" sheetId="1" r:id="rId1"/>
    <sheet name="Ex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" l="1"/>
  <c r="C22" i="2" s="1"/>
  <c r="B21" i="2"/>
  <c r="C21" i="2" s="1"/>
  <c r="B20" i="2"/>
  <c r="C20" i="2" s="1"/>
  <c r="B19" i="2"/>
  <c r="C19" i="2" s="1"/>
  <c r="B18" i="2"/>
  <c r="C18" i="2" s="1"/>
  <c r="B21" i="1"/>
  <c r="C21" i="1" s="1"/>
  <c r="B20" i="1"/>
  <c r="C20" i="1" s="1"/>
  <c r="B19" i="1"/>
  <c r="C19" i="1" s="1"/>
  <c r="B22" i="1"/>
  <c r="C22" i="1" s="1"/>
  <c r="B18" i="1"/>
  <c r="C18" i="1" s="1"/>
</calcChain>
</file>

<file path=xl/sharedStrings.xml><?xml version="1.0" encoding="utf-8"?>
<sst xmlns="http://schemas.openxmlformats.org/spreadsheetml/2006/main" count="163" uniqueCount="91">
  <si>
    <t>Course Name</t>
  </si>
  <si>
    <t>Course ID</t>
  </si>
  <si>
    <t>University</t>
  </si>
  <si>
    <t>Term</t>
  </si>
  <si>
    <t>Grade</t>
  </si>
  <si>
    <t>Credits</t>
  </si>
  <si>
    <t>Status</t>
  </si>
  <si>
    <t>UVA Course Equivalent</t>
  </si>
  <si>
    <t>Engineering Math I</t>
  </si>
  <si>
    <t>Business of Engineering</t>
  </si>
  <si>
    <t>Advanced Classical Thermodynamics</t>
  </si>
  <si>
    <t>Human Factors I</t>
  </si>
  <si>
    <t>Introduction to FEA</t>
  </si>
  <si>
    <t>Mechanics of Materials</t>
  </si>
  <si>
    <t>Project Management</t>
  </si>
  <si>
    <t>Statistics for Engineers</t>
  </si>
  <si>
    <t>Research Seminar</t>
  </si>
  <si>
    <t>MAE 6410</t>
  </si>
  <si>
    <t>MAE 6592</t>
  </si>
  <si>
    <t>MAE 605</t>
  </si>
  <si>
    <t>SYS 6007</t>
  </si>
  <si>
    <t>MAE 540</t>
  </si>
  <si>
    <t>CE 6710</t>
  </si>
  <si>
    <t>ENMA 604</t>
  </si>
  <si>
    <t>MAE 6430</t>
  </si>
  <si>
    <t>MAE 7510</t>
  </si>
  <si>
    <t>UVA</t>
  </si>
  <si>
    <t>ODU</t>
  </si>
  <si>
    <t>Fall 2020</t>
  </si>
  <si>
    <t>Spring 2021</t>
  </si>
  <si>
    <t>Fall 2021</t>
  </si>
  <si>
    <t>Spring 2022</t>
  </si>
  <si>
    <t>Summer 2022</t>
  </si>
  <si>
    <t>Fall 2022</t>
  </si>
  <si>
    <t>Spring 2023</t>
  </si>
  <si>
    <t>PLAN OF STUDY</t>
  </si>
  <si>
    <t>REQUIREMENTS</t>
  </si>
  <si>
    <t>Total number of Credits</t>
  </si>
  <si>
    <t>Total number of MAE Credits</t>
  </si>
  <si>
    <t>5000-Level Course? (Yes = 1, No = 0)</t>
  </si>
  <si>
    <t>MAE Course?     (Yes = 1, No = 0)</t>
  </si>
  <si>
    <t>Total number of Research Seminars</t>
  </si>
  <si>
    <t>Research Seminar? (Yes = 1, No = 0)</t>
  </si>
  <si>
    <t>Total number of 5000-level Credits</t>
  </si>
  <si>
    <t>Total number of MAE 5000-level Credits</t>
  </si>
  <si>
    <t>Completed</t>
  </si>
  <si>
    <t>In Progress</t>
  </si>
  <si>
    <t>Planned</t>
  </si>
  <si>
    <t>Continnuum Mechanics</t>
  </si>
  <si>
    <t>MAE 6020</t>
  </si>
  <si>
    <t>MAE 6555</t>
  </si>
  <si>
    <t>MAE 6160</t>
  </si>
  <si>
    <t>Theory of Elasticity</t>
  </si>
  <si>
    <t>MAE 6070</t>
  </si>
  <si>
    <t>PLEASE SEE THE EXAMPLE WORKSHEET FOR HOW TO FILL OUT THIS FORM</t>
  </si>
  <si>
    <t>A</t>
  </si>
  <si>
    <t>B+</t>
  </si>
  <si>
    <t>A-</t>
  </si>
  <si>
    <t>Engineering Mathematics I</t>
  </si>
  <si>
    <t>Fall 2023</t>
  </si>
  <si>
    <t>Multibody Mechanical Systems</t>
  </si>
  <si>
    <t>MAE 6250</t>
  </si>
  <si>
    <t>Spring 2024</t>
  </si>
  <si>
    <t>B-</t>
  </si>
  <si>
    <t>Experimental Robotics</t>
  </si>
  <si>
    <t>MAE 6270</t>
  </si>
  <si>
    <t>Fall 2024</t>
  </si>
  <si>
    <t>Robotic Autonomy</t>
  </si>
  <si>
    <t>MAE 6260</t>
  </si>
  <si>
    <t>Spring 2025</t>
  </si>
  <si>
    <t>A+</t>
  </si>
  <si>
    <t>Engineering Products &amp; Economic Considerations</t>
  </si>
  <si>
    <t>ENGR 696</t>
  </si>
  <si>
    <t>VCU</t>
  </si>
  <si>
    <t>Summer 2025</t>
  </si>
  <si>
    <t>Transfer pending</t>
  </si>
  <si>
    <t>World Building with VR and AR</t>
  </si>
  <si>
    <t>CE 6500</t>
  </si>
  <si>
    <t>Fall 2025</t>
  </si>
  <si>
    <t>Machine Learning - Image Analysis</t>
  </si>
  <si>
    <t>ECE 6782</t>
  </si>
  <si>
    <t>User Interface Design &amp; Development</t>
  </si>
  <si>
    <t>SWE 632</t>
  </si>
  <si>
    <t>GMU</t>
  </si>
  <si>
    <t>Spring 2026</t>
  </si>
  <si>
    <t>Software Testing</t>
  </si>
  <si>
    <t>SWE 637</t>
  </si>
  <si>
    <t>Research Seminar, MAE</t>
  </si>
  <si>
    <t>MAE 8100</t>
  </si>
  <si>
    <t>TBD</t>
  </si>
  <si>
    <t>Summer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</si>
</sst>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FE0B-68A4-4709-B92D-652D83F5FAF3}">
  <dimension ref="A1:L25"/>
  <sheetViews>
    <sheetView tabSelected="1" workbookViewId="0">
      <selection activeCell="D25" sqref="D25"/>
    </sheetView>
  </sheetViews>
  <sheetFormatPr defaultRowHeight="14.5" x14ac:dyDescent="0.35"/>
  <cols>
    <col min="1" max="1" width="47.7265625" style="1" customWidth="1"/>
    <col min="2" max="8" width="15.81640625" style="1" customWidth="1"/>
    <col min="9" max="11" width="17.7265625" style="1" customWidth="1"/>
    <col min="12" max="12" width="15.81640625" style="1" customWidth="1"/>
  </cols>
  <sheetData>
    <row r="1" spans="1:12" x14ac:dyDescent="0.35">
      <c r="A1" s="3" t="s">
        <v>35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2" s="8" customFormat="1" ht="30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40</v>
      </c>
      <c r="J2" s="9" t="s">
        <v>39</v>
      </c>
      <c r="K2" s="9" t="s">
        <v>42</v>
      </c>
      <c r="L2" s="7"/>
    </row>
    <row r="3" spans="1:12" x14ac:dyDescent="0.35">
      <c r="A3" s="2" t="s">
        <v>58</v>
      </c>
      <c r="B3" s="2" t="s">
        <v>17</v>
      </c>
      <c r="C3" s="2" t="s">
        <v>26</v>
      </c>
      <c r="D3" s="2" t="s">
        <v>59</v>
      </c>
      <c r="E3" s="2" t="s">
        <v>56</v>
      </c>
      <c r="F3" s="2">
        <v>3</v>
      </c>
      <c r="G3" s="2" t="s">
        <v>45</v>
      </c>
      <c r="H3" s="2"/>
      <c r="I3" s="2">
        <v>1</v>
      </c>
      <c r="J3" s="2">
        <v>1</v>
      </c>
      <c r="K3" s="2">
        <v>0</v>
      </c>
    </row>
    <row r="4" spans="1:12" x14ac:dyDescent="0.35">
      <c r="A4" s="2" t="s">
        <v>60</v>
      </c>
      <c r="B4" s="2" t="s">
        <v>61</v>
      </c>
      <c r="C4" s="2" t="s">
        <v>26</v>
      </c>
      <c r="D4" s="2" t="s">
        <v>62</v>
      </c>
      <c r="E4" s="2" t="s">
        <v>63</v>
      </c>
      <c r="F4" s="2">
        <v>3</v>
      </c>
      <c r="G4" s="2" t="s">
        <v>45</v>
      </c>
      <c r="H4" s="2"/>
      <c r="I4" s="2">
        <v>1</v>
      </c>
      <c r="J4" s="2">
        <v>1</v>
      </c>
      <c r="K4" s="2">
        <v>0</v>
      </c>
    </row>
    <row r="5" spans="1:12" x14ac:dyDescent="0.35">
      <c r="A5" s="2" t="s">
        <v>64</v>
      </c>
      <c r="B5" s="2" t="s">
        <v>65</v>
      </c>
      <c r="C5" s="2" t="s">
        <v>26</v>
      </c>
      <c r="D5" s="2" t="s">
        <v>66</v>
      </c>
      <c r="E5" s="2" t="s">
        <v>57</v>
      </c>
      <c r="F5" s="2">
        <v>3</v>
      </c>
      <c r="G5" s="2" t="s">
        <v>45</v>
      </c>
      <c r="H5" s="2"/>
      <c r="I5" s="2">
        <v>1</v>
      </c>
      <c r="J5" s="2">
        <v>1</v>
      </c>
      <c r="K5" s="2">
        <v>0</v>
      </c>
    </row>
    <row r="6" spans="1:12" x14ac:dyDescent="0.35">
      <c r="A6" s="2" t="s">
        <v>67</v>
      </c>
      <c r="B6" s="2" t="s">
        <v>68</v>
      </c>
      <c r="C6" s="2" t="s">
        <v>26</v>
      </c>
      <c r="D6" s="2" t="s">
        <v>69</v>
      </c>
      <c r="E6" s="2" t="s">
        <v>70</v>
      </c>
      <c r="F6" s="2">
        <v>3</v>
      </c>
      <c r="G6" s="2" t="s">
        <v>45</v>
      </c>
      <c r="H6" s="2"/>
      <c r="I6" s="2">
        <v>1</v>
      </c>
      <c r="J6" s="2">
        <v>1</v>
      </c>
      <c r="K6" s="2">
        <v>0</v>
      </c>
    </row>
    <row r="7" spans="1:12" x14ac:dyDescent="0.35">
      <c r="A7" s="2" t="s">
        <v>71</v>
      </c>
      <c r="B7" s="2" t="s">
        <v>72</v>
      </c>
      <c r="C7" s="2" t="s">
        <v>73</v>
      </c>
      <c r="D7" s="2" t="s">
        <v>74</v>
      </c>
      <c r="E7" s="2" t="s">
        <v>55</v>
      </c>
      <c r="F7" s="2">
        <v>3</v>
      </c>
      <c r="G7" s="2" t="s">
        <v>45</v>
      </c>
      <c r="H7" s="2" t="s">
        <v>75</v>
      </c>
      <c r="I7" s="2">
        <v>1</v>
      </c>
      <c r="J7" s="2">
        <v>1</v>
      </c>
      <c r="K7" s="2">
        <v>0</v>
      </c>
    </row>
    <row r="8" spans="1:12" x14ac:dyDescent="0.35">
      <c r="A8" s="2" t="s">
        <v>76</v>
      </c>
      <c r="B8" s="2" t="s">
        <v>77</v>
      </c>
      <c r="C8" s="2" t="s">
        <v>26</v>
      </c>
      <c r="D8" s="2" t="s">
        <v>78</v>
      </c>
      <c r="E8" s="2" t="s">
        <v>70</v>
      </c>
      <c r="F8" s="2">
        <v>3</v>
      </c>
      <c r="G8" s="2" t="s">
        <v>45</v>
      </c>
      <c r="H8" s="2"/>
      <c r="I8" s="2">
        <v>0</v>
      </c>
      <c r="J8" s="2">
        <v>1</v>
      </c>
      <c r="K8" s="2">
        <v>0</v>
      </c>
    </row>
    <row r="9" spans="1:12" x14ac:dyDescent="0.35">
      <c r="A9" s="2" t="s">
        <v>79</v>
      </c>
      <c r="B9" s="2" t="s">
        <v>80</v>
      </c>
      <c r="C9" s="2" t="s">
        <v>26</v>
      </c>
      <c r="D9" s="2" t="s">
        <v>78</v>
      </c>
      <c r="E9" s="2" t="s">
        <v>55</v>
      </c>
      <c r="F9" s="2">
        <v>3</v>
      </c>
      <c r="G9" s="2" t="s">
        <v>45</v>
      </c>
      <c r="H9" s="2"/>
      <c r="I9" s="2">
        <v>0</v>
      </c>
      <c r="J9" s="2">
        <v>1</v>
      </c>
      <c r="K9" s="2">
        <v>0</v>
      </c>
    </row>
    <row r="10" spans="1:12" x14ac:dyDescent="0.35">
      <c r="A10" s="2" t="s">
        <v>81</v>
      </c>
      <c r="B10" s="2" t="s">
        <v>82</v>
      </c>
      <c r="C10" s="2" t="s">
        <v>83</v>
      </c>
      <c r="D10" s="2" t="s">
        <v>84</v>
      </c>
      <c r="E10" s="2"/>
      <c r="F10" s="2">
        <v>3</v>
      </c>
      <c r="G10" s="2" t="s">
        <v>46</v>
      </c>
      <c r="H10" s="2"/>
      <c r="I10" s="2">
        <v>0</v>
      </c>
      <c r="J10" s="2">
        <v>1</v>
      </c>
      <c r="K10" s="2">
        <v>0</v>
      </c>
    </row>
    <row r="11" spans="1:12" x14ac:dyDescent="0.35">
      <c r="A11" s="2" t="s">
        <v>85</v>
      </c>
      <c r="B11" s="2" t="s">
        <v>86</v>
      </c>
      <c r="C11" s="2" t="s">
        <v>83</v>
      </c>
      <c r="D11" s="2" t="s">
        <v>84</v>
      </c>
      <c r="E11" s="2"/>
      <c r="F11" s="2">
        <v>3</v>
      </c>
      <c r="G11" s="2" t="s">
        <v>46</v>
      </c>
      <c r="H11" s="2"/>
      <c r="I11" s="2">
        <v>0</v>
      </c>
      <c r="J11" s="2">
        <v>1</v>
      </c>
      <c r="K11" s="2">
        <v>0</v>
      </c>
    </row>
    <row r="12" spans="1:12" x14ac:dyDescent="0.35">
      <c r="A12" s="2" t="s">
        <v>87</v>
      </c>
      <c r="B12" s="2" t="s">
        <v>88</v>
      </c>
      <c r="C12" s="2" t="s">
        <v>26</v>
      </c>
      <c r="D12" s="2" t="s">
        <v>84</v>
      </c>
      <c r="E12" s="2"/>
      <c r="F12" s="2">
        <v>0</v>
      </c>
      <c r="G12" s="2" t="s">
        <v>46</v>
      </c>
      <c r="H12" s="2"/>
      <c r="I12" s="2">
        <v>1</v>
      </c>
      <c r="J12" s="2">
        <v>0</v>
      </c>
      <c r="K12" s="2">
        <v>1</v>
      </c>
    </row>
    <row r="13" spans="1:12" x14ac:dyDescent="0.35">
      <c r="A13" s="2" t="s">
        <v>89</v>
      </c>
      <c r="B13" s="2" t="s">
        <v>89</v>
      </c>
      <c r="C13" s="2" t="s">
        <v>89</v>
      </c>
      <c r="D13" s="2" t="s">
        <v>90</v>
      </c>
      <c r="E13" s="2"/>
      <c r="F13" s="2">
        <v>3</v>
      </c>
      <c r="G13" s="2" t="s">
        <v>47</v>
      </c>
      <c r="H13" s="2"/>
      <c r="I13" s="2">
        <v>1</v>
      </c>
      <c r="J13" s="2">
        <v>1</v>
      </c>
      <c r="K13" s="2">
        <v>0</v>
      </c>
    </row>
    <row r="14" spans="1:1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7" spans="1:4" x14ac:dyDescent="0.35">
      <c r="A17" s="3" t="s">
        <v>36</v>
      </c>
      <c r="B17" s="4"/>
      <c r="C17" s="5"/>
      <c r="D17" s="6"/>
    </row>
    <row r="18" spans="1:4" x14ac:dyDescent="0.35">
      <c r="A18" s="2" t="s">
        <v>37</v>
      </c>
      <c r="B18" s="2">
        <f>SUM(F3:F15)</f>
        <v>30</v>
      </c>
      <c r="C18" s="2" t="str">
        <f>IF(B18&lt;30,"Not Satisfied","Satisfied")</f>
        <v>Satisfied</v>
      </c>
    </row>
    <row r="19" spans="1:4" x14ac:dyDescent="0.35">
      <c r="A19" s="2" t="s">
        <v>38</v>
      </c>
      <c r="B19" s="2">
        <f>SUMPRODUCT(F3:F15,I3:I15)</f>
        <v>18</v>
      </c>
      <c r="C19" s="2" t="str">
        <f>IF(B19&lt;18,"Not Satisfied","Satisfied")</f>
        <v>Satisfied</v>
      </c>
    </row>
    <row r="20" spans="1:4" x14ac:dyDescent="0.35">
      <c r="A20" s="2" t="s">
        <v>43</v>
      </c>
      <c r="B20" s="2">
        <f>SUMPRODUCT(F3:F15,J3:J15)</f>
        <v>30</v>
      </c>
      <c r="C20" s="2" t="str">
        <f>IF(B20&gt;9,"Not Satisfied","Satisfied")</f>
        <v>Not Satisfied</v>
      </c>
    </row>
    <row r="21" spans="1:4" x14ac:dyDescent="0.35">
      <c r="A21" s="2" t="s">
        <v>44</v>
      </c>
      <c r="B21" s="2">
        <f>SUMPRODUCT(F3:F15,I3:I15,J3:J15)</f>
        <v>18</v>
      </c>
      <c r="C21" s="2" t="str">
        <f>IF(B21&gt;6,"Not Satisfied","Satisfied")</f>
        <v>Not Satisfied</v>
      </c>
    </row>
    <row r="22" spans="1:4" x14ac:dyDescent="0.35">
      <c r="A22" s="2" t="s">
        <v>41</v>
      </c>
      <c r="B22" s="2">
        <f>SUM(K3:K15)</f>
        <v>1</v>
      </c>
      <c r="C22" s="2" t="str">
        <f>IF(B22&lt;1,"Not Satisfied","Satisfied")</f>
        <v>Satisfied</v>
      </c>
    </row>
    <row r="25" spans="1:4" ht="29" x14ac:dyDescent="0.35">
      <c r="A25" s="10" t="s">
        <v>54</v>
      </c>
    </row>
  </sheetData>
  <conditionalFormatting sqref="C18:C22">
    <cfRule type="cellIs" dxfId="1" priority="1" operator="equal">
      <formula>"Satisfied"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2270-AA12-46F8-A199-539B40380330}">
  <dimension ref="A1:L22"/>
  <sheetViews>
    <sheetView workbookViewId="0">
      <selection activeCell="A12" sqref="A12"/>
    </sheetView>
  </sheetViews>
  <sheetFormatPr defaultRowHeight="14.5" x14ac:dyDescent="0.35"/>
  <cols>
    <col min="1" max="1" width="47.7265625" style="1" customWidth="1"/>
    <col min="2" max="8" width="15.81640625" style="1" customWidth="1"/>
    <col min="9" max="11" width="17.7265625" style="1" customWidth="1"/>
    <col min="12" max="12" width="15.81640625" style="1" customWidth="1"/>
  </cols>
  <sheetData>
    <row r="1" spans="1:12" x14ac:dyDescent="0.35">
      <c r="A1" s="3" t="s">
        <v>35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2" s="8" customFormat="1" ht="30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40</v>
      </c>
      <c r="J2" s="9" t="s">
        <v>39</v>
      </c>
      <c r="K2" s="9" t="s">
        <v>42</v>
      </c>
      <c r="L2" s="7"/>
    </row>
    <row r="3" spans="1:12" x14ac:dyDescent="0.35">
      <c r="A3" s="2" t="s">
        <v>8</v>
      </c>
      <c r="B3" s="2" t="s">
        <v>17</v>
      </c>
      <c r="C3" s="2" t="s">
        <v>26</v>
      </c>
      <c r="D3" s="2" t="s">
        <v>28</v>
      </c>
      <c r="E3" s="2" t="s">
        <v>55</v>
      </c>
      <c r="F3" s="2">
        <v>3</v>
      </c>
      <c r="G3" s="2" t="s">
        <v>45</v>
      </c>
      <c r="H3" s="2"/>
      <c r="I3" s="2">
        <v>1</v>
      </c>
      <c r="J3" s="2"/>
      <c r="K3" s="2"/>
    </row>
    <row r="4" spans="1:12" x14ac:dyDescent="0.35">
      <c r="A4" s="2" t="s">
        <v>48</v>
      </c>
      <c r="B4" s="2" t="s">
        <v>49</v>
      </c>
      <c r="C4" s="2" t="s">
        <v>26</v>
      </c>
      <c r="D4" s="2" t="s">
        <v>28</v>
      </c>
      <c r="E4" s="2" t="s">
        <v>56</v>
      </c>
      <c r="F4" s="2">
        <v>3</v>
      </c>
      <c r="G4" s="2" t="s">
        <v>45</v>
      </c>
      <c r="H4" s="2"/>
      <c r="I4" s="2">
        <v>1</v>
      </c>
      <c r="J4" s="2"/>
      <c r="K4" s="2"/>
    </row>
    <row r="5" spans="1:12" x14ac:dyDescent="0.35">
      <c r="A5" s="2" t="s">
        <v>9</v>
      </c>
      <c r="B5" s="2" t="s">
        <v>18</v>
      </c>
      <c r="C5" s="2" t="s">
        <v>26</v>
      </c>
      <c r="D5" s="2" t="s">
        <v>29</v>
      </c>
      <c r="E5" s="2" t="s">
        <v>57</v>
      </c>
      <c r="F5" s="2">
        <v>3</v>
      </c>
      <c r="G5" s="2" t="s">
        <v>45</v>
      </c>
      <c r="H5" s="2"/>
      <c r="I5" s="2">
        <v>1</v>
      </c>
      <c r="J5" s="2"/>
      <c r="K5" s="2"/>
    </row>
    <row r="6" spans="1:12" x14ac:dyDescent="0.35">
      <c r="A6" s="2" t="s">
        <v>10</v>
      </c>
      <c r="B6" s="2" t="s">
        <v>19</v>
      </c>
      <c r="C6" s="2" t="s">
        <v>27</v>
      </c>
      <c r="D6" s="2" t="s">
        <v>30</v>
      </c>
      <c r="E6" s="2" t="s">
        <v>55</v>
      </c>
      <c r="F6" s="2">
        <v>3</v>
      </c>
      <c r="G6" s="2" t="s">
        <v>45</v>
      </c>
      <c r="H6" s="2" t="s">
        <v>51</v>
      </c>
      <c r="I6" s="2">
        <v>1</v>
      </c>
      <c r="J6" s="2"/>
      <c r="K6" s="2"/>
    </row>
    <row r="7" spans="1:12" x14ac:dyDescent="0.35">
      <c r="A7" s="2" t="s">
        <v>11</v>
      </c>
      <c r="B7" s="2" t="s">
        <v>20</v>
      </c>
      <c r="C7" s="2" t="s">
        <v>26</v>
      </c>
      <c r="D7" s="2" t="s">
        <v>31</v>
      </c>
      <c r="E7" s="2" t="s">
        <v>56</v>
      </c>
      <c r="F7" s="2">
        <v>3</v>
      </c>
      <c r="G7" s="2" t="s">
        <v>46</v>
      </c>
      <c r="H7" s="2"/>
      <c r="I7" s="2"/>
      <c r="J7" s="2"/>
      <c r="K7" s="2"/>
    </row>
    <row r="8" spans="1:12" x14ac:dyDescent="0.35">
      <c r="A8" s="2" t="s">
        <v>12</v>
      </c>
      <c r="B8" s="2" t="s">
        <v>21</v>
      </c>
      <c r="C8" s="2" t="s">
        <v>27</v>
      </c>
      <c r="D8" s="2" t="s">
        <v>32</v>
      </c>
      <c r="E8" s="2"/>
      <c r="F8" s="2">
        <v>3</v>
      </c>
      <c r="G8" s="2" t="s">
        <v>47</v>
      </c>
      <c r="H8" s="2" t="s">
        <v>50</v>
      </c>
      <c r="I8" s="2">
        <v>1</v>
      </c>
      <c r="J8" s="2">
        <v>1</v>
      </c>
      <c r="K8" s="2"/>
    </row>
    <row r="9" spans="1:12" x14ac:dyDescent="0.35">
      <c r="A9" s="2" t="s">
        <v>13</v>
      </c>
      <c r="B9" s="2" t="s">
        <v>22</v>
      </c>
      <c r="C9" s="2" t="s">
        <v>26</v>
      </c>
      <c r="D9" s="2" t="s">
        <v>33</v>
      </c>
      <c r="E9" s="2"/>
      <c r="F9" s="2">
        <v>3</v>
      </c>
      <c r="G9" s="2" t="s">
        <v>47</v>
      </c>
      <c r="H9" s="2"/>
      <c r="I9" s="2"/>
      <c r="J9" s="2"/>
      <c r="K9" s="2"/>
    </row>
    <row r="10" spans="1:12" x14ac:dyDescent="0.35">
      <c r="A10" s="2" t="s">
        <v>14</v>
      </c>
      <c r="B10" s="2" t="s">
        <v>23</v>
      </c>
      <c r="C10" s="2" t="s">
        <v>27</v>
      </c>
      <c r="D10" s="2" t="s">
        <v>33</v>
      </c>
      <c r="E10" s="2"/>
      <c r="F10" s="2">
        <v>3</v>
      </c>
      <c r="G10" s="2" t="s">
        <v>47</v>
      </c>
      <c r="H10" s="2" t="s">
        <v>50</v>
      </c>
      <c r="I10" s="2"/>
      <c r="J10" s="2"/>
      <c r="K10" s="2"/>
    </row>
    <row r="11" spans="1:12" x14ac:dyDescent="0.35">
      <c r="A11" s="2" t="s">
        <v>15</v>
      </c>
      <c r="B11" s="2" t="s">
        <v>24</v>
      </c>
      <c r="C11" s="2" t="s">
        <v>26</v>
      </c>
      <c r="D11" s="2" t="s">
        <v>34</v>
      </c>
      <c r="E11" s="2"/>
      <c r="F11" s="2">
        <v>3</v>
      </c>
      <c r="G11" s="2" t="s">
        <v>47</v>
      </c>
      <c r="H11" s="2"/>
      <c r="I11" s="2">
        <v>1</v>
      </c>
      <c r="J11" s="2"/>
      <c r="K11" s="2"/>
    </row>
    <row r="12" spans="1:12" x14ac:dyDescent="0.35">
      <c r="A12" s="2" t="s">
        <v>52</v>
      </c>
      <c r="B12" s="2" t="s">
        <v>53</v>
      </c>
      <c r="C12" s="2" t="s">
        <v>26</v>
      </c>
      <c r="D12" s="2" t="s">
        <v>34</v>
      </c>
      <c r="E12" s="2"/>
      <c r="F12" s="2">
        <v>3</v>
      </c>
      <c r="G12" s="2" t="s">
        <v>47</v>
      </c>
      <c r="H12" s="2"/>
      <c r="I12" s="2">
        <v>1</v>
      </c>
      <c r="J12" s="2"/>
      <c r="K12" s="2"/>
    </row>
    <row r="13" spans="1:12" x14ac:dyDescent="0.35">
      <c r="A13" s="2" t="s">
        <v>16</v>
      </c>
      <c r="B13" s="2" t="s">
        <v>25</v>
      </c>
      <c r="C13" s="2" t="s">
        <v>26</v>
      </c>
      <c r="D13" s="2" t="s">
        <v>34</v>
      </c>
      <c r="E13" s="2"/>
      <c r="F13" s="2">
        <v>0</v>
      </c>
      <c r="G13" s="2" t="s">
        <v>47</v>
      </c>
      <c r="H13" s="2"/>
      <c r="I13" s="2"/>
      <c r="J13" s="2"/>
      <c r="K13" s="2">
        <v>1</v>
      </c>
    </row>
    <row r="14" spans="1:1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7" spans="1:4" x14ac:dyDescent="0.35">
      <c r="A17" s="3" t="s">
        <v>36</v>
      </c>
      <c r="B17" s="4"/>
      <c r="C17" s="5"/>
      <c r="D17" s="6"/>
    </row>
    <row r="18" spans="1:4" x14ac:dyDescent="0.35">
      <c r="A18" s="2" t="s">
        <v>37</v>
      </c>
      <c r="B18" s="2">
        <f>SUM(F3:F15)</f>
        <v>30</v>
      </c>
      <c r="C18" s="2" t="str">
        <f>IF(B18&lt;30,"Not Satisfied","Satisfied")</f>
        <v>Satisfied</v>
      </c>
    </row>
    <row r="19" spans="1:4" x14ac:dyDescent="0.35">
      <c r="A19" s="2" t="s">
        <v>38</v>
      </c>
      <c r="B19" s="2">
        <f>SUMPRODUCT(F3:F15,I3:I15)</f>
        <v>21</v>
      </c>
      <c r="C19" s="2" t="str">
        <f>IF(B19&lt;18,"Not Satisfied","Satisfied")</f>
        <v>Satisfied</v>
      </c>
    </row>
    <row r="20" spans="1:4" x14ac:dyDescent="0.35">
      <c r="A20" s="2" t="s">
        <v>43</v>
      </c>
      <c r="B20" s="2">
        <f>SUMPRODUCT(F3:F15,J3:J15)</f>
        <v>3</v>
      </c>
      <c r="C20" s="2" t="str">
        <f>IF(B20&gt;9,"Not Satisfied","Satisfied")</f>
        <v>Satisfied</v>
      </c>
    </row>
    <row r="21" spans="1:4" x14ac:dyDescent="0.35">
      <c r="A21" s="2" t="s">
        <v>44</v>
      </c>
      <c r="B21" s="2">
        <f>SUMPRODUCT(F3:F15,I3:I15,J3:J15)</f>
        <v>3</v>
      </c>
      <c r="C21" s="2" t="str">
        <f>IF(B21&gt;6,"Not Satisfied","Satisfied")</f>
        <v>Satisfied</v>
      </c>
    </row>
    <row r="22" spans="1:4" x14ac:dyDescent="0.35">
      <c r="A22" s="2" t="s">
        <v>41</v>
      </c>
      <c r="B22" s="2">
        <f>SUM(K3:K15)</f>
        <v>1</v>
      </c>
      <c r="C22" s="2" t="str">
        <f>IF(B22&lt;1,"Not Satisfied","Satisfied")</f>
        <v>Satisfied</v>
      </c>
    </row>
  </sheetData>
  <conditionalFormatting sqref="C18:C22">
    <cfRule type="cellIs" dxfId="0" priority="1" operator="equal">
      <formula>"Satisfied"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Plan_of_Study_Worksheet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B. Panzer</dc:creator>
  <cp:lastModifiedBy>Lawson Smith</cp:lastModifiedBy>
  <dcterms:created xsi:type="dcterms:W3CDTF">2022-04-22T13:12:32Z</dcterms:created>
  <dcterms:modified xsi:type="dcterms:W3CDTF">2026-04-09T22:36:49Z</dcterms:modified>
</cp:coreProperties>
</file>